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5f6db878f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s e lucro" sheetId="1" r:id="R8795c447777f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 &quot;#,##0.00;(&quot;R$ &quot;#,##0.00);&quot;R$ &quot;0.00"/>
    <x:numFmt numFmtId="201" formatCode="0.00%"/>
  </x:numFmts>
  <x:fonts count="7">
    <x:font>
      <x:sz val="11"/>
      <x:name val="Carlito"/>
    </x:font>
    <x:font>
      <x:sz val="12"/>
      <x:color rgb="FF1D1D1F"/>
      <x:name val="Manrope"/>
    </x:font>
    <x:font>
      <x:b/>
      <x:sz val="22"/>
      <x:color rgb="FF1D1D1F"/>
      <x:name val="Manrope"/>
    </x:font>
    <x:font>
      <x:b/>
      <x:sz val="12"/>
      <x:color rgb="FF1D1D1F"/>
      <x:name val="Manrope"/>
    </x:font>
    <x:font>
      <x:sz val="12"/>
      <x:color rgb="FF0071E3"/>
      <x:name val="Manrope"/>
    </x:font>
    <x:font>
      <x:b/>
      <x:sz val="14"/>
      <x:color rgb="FF1D1D1F"/>
      <x:name val="Manrope"/>
    </x:font>
    <x:font>
      <x:sz val="11"/>
      <x:color rgb="FF515155"/>
      <x:name val="Manrope"/>
    </x:font>
  </x:fonts>
  <x:fills count="4">
    <x:fill>
      <x:patternFill patternType="none"/>
    </x:fill>
    <x:fill>
      <x:patternFill patternType="gray125"/>
    </x:fill>
    <x:fill>
      <x:patternFill patternType="solid">
        <x:fgColor rgb="FFE8F2FD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3" borderId="0" xfId="0" applyNumberFormat="1" applyFont="1" applyFill="1" applyBorder="1"/>
    <x:xf numFmtId="200" fontId="4" fillId="2" borderId="0" xfId="0" applyNumberFormat="1" applyFont="1" applyFill="1" applyBorder="1"/>
    <x:xf numFmtId="200" fontId="4" fillId="3" borderId="0" xfId="0" applyNumberFormat="1" applyFont="1" applyFill="1" applyBorder="1"/>
    <x:xf numFmtId="201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D70015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a711da3e54639" /><Relationship Type="http://schemas.openxmlformats.org/officeDocument/2006/relationships/theme" Target="/xl/theme/theme1.xml" Id="R632da20a49334859" /><Relationship Type="http://schemas.openxmlformats.org/officeDocument/2006/relationships/sharedStrings" Target="/xl/sharedStrings.xml" Id="R6f4e8664b4564cbb" /><Relationship Type="http://schemas.openxmlformats.org/officeDocument/2006/relationships/worksheet" Target="/xl/worksheets/sheet1.xml" Id="R8795c447777f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4" hidden="0" customWidth="1"/>
    <x:col min="5" max="5" width="39" hidden="0" customWidth="1"/>
    <x:col min="6" max="6" width="1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42" customHeight="1">
      <x:c r="A2" s="1"/>
      <x:c r="B2" s="2" t="str">
        <x:v>Planilha de custos e lucro</x:v>
      </x:c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29" customHeight="1">
      <x:c r="A4" s="1"/>
      <x:c r="B4" s="1" t="str">
        <x:v>Preencha as células azuis. Valores por unidade.</x:v>
      </x:c>
      <x:c r="C4" s="1"/>
      <x:c r="D4" s="1"/>
      <x:c r="E4" s="1"/>
      <x:c r="F4" s="1"/>
      <x:c r="G4" s="1"/>
    </x:row>
    <x:row r="5" ht="29" customHeight="1">
      <x:c r="A5" s="1"/>
      <x:c r="B5" s="1" t="str">
        <x:v>Preço, produto, comissão e taxa por item são obrigatórios.</x:v>
      </x:c>
      <x:c r="C5" s="1"/>
      <x:c r="D5" s="1"/>
      <x:c r="E5" s="1"/>
      <x:c r="F5" s="1"/>
      <x:c r="G5" s="1"/>
    </x:row>
    <x:row r="6" ht="29" customHeight="1">
      <x:c r="A6" s="1"/>
      <x:c r="B6" s="1"/>
      <x:c r="C6" s="1"/>
      <x:c r="D6" s="1"/>
      <x:c r="E6" s="1"/>
      <x:c r="F6" s="1"/>
      <x:c r="G6" s="1"/>
    </x:row>
    <x:row r="7" ht="29" customHeight="1">
      <x:c r="A7" s="1"/>
      <x:c r="B7" s="4" t="str">
        <x:v>Seus valores</x:v>
      </x:c>
      <x:c r="C7" s="4"/>
      <x:c r="D7" s="1"/>
      <x:c r="E7" s="4" t="str">
        <x:v>Resultado da venda</x:v>
      </x:c>
      <x:c r="F7" s="4"/>
      <x:c r="G7" s="1"/>
    </x:row>
    <x:row r="8" ht="29" customHeight="1">
      <x:c r="A8" s="1"/>
      <x:c r="B8" s="1"/>
      <x:c r="C8" s="1"/>
      <x:c r="D8" s="1"/>
      <x:c r="E8" s="1"/>
      <x:c r="F8" s="1"/>
      <x:c r="G8" s="1"/>
    </x:row>
    <x:row r="9" ht="29" customHeight="1">
      <x:c r="A9" s="1"/>
      <x:c r="B9" s="1" t="str">
        <x:v>Preço de venda (R$)</x:v>
      </x:c>
      <x:c r="C9" s="8"/>
      <x:c r="D9" s="1"/>
      <x:c r="E9" s="1" t="str">
        <x:v>Preço depois de desconto e cupom</x:v>
      </x:c>
      <x:c r="F9" s="11" t="str">
        <x:f>IF(OR(C9="",C12="",C18="",C19=""),"",IF(ROUND(C9*(1-C10)-C11,2)&lt;=0,"",ROUND(C9*(1-C10)-C11,2)))</x:f>
      </x:c>
      <x:c r="G9" s="1"/>
    </x:row>
    <x:row r="10" ht="29" customHeight="1">
      <x:c r="A10" s="1"/>
      <x:c r="B10" s="1" t="str">
        <x:v>Desconto (%)</x:v>
      </x:c>
      <x:c r="C10" s="10" t="n">
        <x:v>0</x:v>
      </x:c>
      <x:c r="D10" s="1"/>
      <x:c r="E10" s="1" t="str">
        <x:v>Comissão</x:v>
      </x:c>
      <x:c r="F10" s="11" t="str">
        <x:f>IF(F9="","",ROUND(F9*C18,2))</x:f>
      </x:c>
      <x:c r="G10" s="1"/>
    </x:row>
    <x:row r="11" ht="29" customHeight="1">
      <x:c r="A11" s="1"/>
      <x:c r="B11" s="1" t="str">
        <x:v>Cupom pago por você (R$)</x:v>
      </x:c>
      <x:c r="C11" s="8" t="n">
        <x:v>0</x:v>
      </x:c>
      <x:c r="D11" s="1"/>
      <x:c r="E11" s="1" t="str">
        <x:v>Taxa por item</x:v>
      </x:c>
      <x:c r="F11" s="11" t="str">
        <x:f>IF(F9="","",C19)</x:f>
      </x:c>
      <x:c r="G11" s="1"/>
    </x:row>
    <x:row r="12" ht="29" customHeight="1">
      <x:c r="A12" s="1"/>
      <x:c r="B12" s="1" t="str">
        <x:v>Custo do produto (R$)</x:v>
      </x:c>
      <x:c r="C12" s="8"/>
      <x:c r="D12" s="1"/>
      <x:c r="E12" s="1" t="str">
        <x:v>Impostos</x:v>
      </x:c>
      <x:c r="F12" s="11" t="str">
        <x:f>IF(F9="","",ROUND(F9*C20,2))</x:f>
      </x:c>
      <x:c r="G12" s="1"/>
    </x:row>
    <x:row r="13" ht="29" customHeight="1">
      <x:c r="A13" s="1"/>
      <x:c r="B13" s="1" t="str">
        <x:v>Embalagem (R$)</x:v>
      </x:c>
      <x:c r="C13" s="8" t="n">
        <x:v>0</x:v>
      </x:c>
      <x:c r="D13" s="1"/>
      <x:c r="E13" s="1" t="str">
        <x:v>Campanhas e outras taxas</x:v>
      </x:c>
      <x:c r="F13" s="11" t="str">
        <x:f>IF(F9="","",ROUND(F9*C21,2))</x:f>
      </x:c>
      <x:c r="G13" s="1"/>
    </x:row>
    <x:row r="14" ht="29" customHeight="1">
      <x:c r="A14" s="1"/>
      <x:c r="B14" s="1" t="str">
        <x:v>Frete pago por você (R$)</x:v>
      </x:c>
      <x:c r="C14" s="8" t="n">
        <x:v>0</x:v>
      </x:c>
      <x:c r="D14" s="1"/>
      <x:c r="E14" s="1" t="str">
        <x:v>Produto e custos da operação</x:v>
      </x:c>
      <x:c r="F14" s="11" t="str">
        <x:f>IF(F9="","",SUM(C12:C16))</x:f>
      </x:c>
      <x:c r="G14" s="1"/>
    </x:row>
    <x:row r="15" ht="29" customHeight="1">
      <x:c r="A15" s="1"/>
      <x:c r="B15" s="1" t="str">
        <x:v>Outros custos por venda (R$)</x:v>
      </x:c>
      <x:c r="C15" s="8" t="n">
        <x:v>0</x:v>
      </x:c>
      <x:c r="D15" s="1"/>
      <x:c r="E15" s="1" t="str">
        <x:v>Total de custos</x:v>
      </x:c>
      <x:c r="F15" s="11" t="str">
        <x:f>IF(F9="","",SUM(F10:F14))</x:f>
      </x:c>
      <x:c r="G15" s="1"/>
    </x:row>
    <x:row r="16" ht="29" customHeight="1">
      <x:c r="A16" s="1"/>
      <x:c r="B16" s="1" t="str">
        <x:v>Anúncios por venda (R$)</x:v>
      </x:c>
      <x:c r="C16" s="8" t="n">
        <x:v>0</x:v>
      </x:c>
      <x:c r="D16" s="1"/>
      <x:c r="E16" s="13" t="str">
        <x:v>Lucro estimado por unidade</x:v>
      </x:c>
      <x:c r="F16" s="14" t="str">
        <x:f>IF(F9="","",F9-F15)</x:f>
      </x:c>
      <x:c r="G16" s="1"/>
    </x:row>
    <x:row r="17" ht="29" customHeight="1">
      <x:c r="A17" s="1"/>
      <x:c r="B17" s="1" t="str"/>
      <x:c r="C17" s="9"/>
      <x:c r="D17" s="1"/>
      <x:c r="E17" s="13" t="str">
        <x:v>Margem de lucro</x:v>
      </x:c>
      <x:c r="F17" s="15" t="str">
        <x:f>IF(F9="","",F16/F9)</x:f>
      </x:c>
      <x:c r="G17" s="1"/>
    </x:row>
    <x:row r="18" ht="29" customHeight="1">
      <x:c r="A18" s="1"/>
      <x:c r="B18" s="1" t="str">
        <x:v>Comissão total (%)</x:v>
      </x:c>
      <x:c r="C18" s="10"/>
      <x:c r="D18" s="1"/>
      <x:c r="E18" s="1"/>
      <x:c r="F18" s="1"/>
      <x:c r="G18" s="1"/>
    </x:row>
    <x:row r="19" ht="32" customHeight="1">
      <x:c r="A19" s="1"/>
      <x:c r="B19" s="1" t="str">
        <x:v>Taxa por item (R$)</x:v>
      </x:c>
      <x:c r="C19" s="8"/>
      <x:c r="D19" s="1"/>
      <x:c r="E19" s="1" t="str">
        <x:f>IF(OR(C9="",C12="",C18="",C19=""),"Faltam campos obrigatórios",IF(F9="","Preço final deve ser maior que zero",IF(F16&lt;0,"Venda com prejuízo","Lucro estimado com os custos informados")))</x:f>
        <x:v>Faltam campos obrigatórios</x:v>
      </x:c>
      <x:c r="F19" s="1"/>
      <x:c r="G19" s="1"/>
    </x:row>
    <x:row r="20" ht="29" customHeight="1">
      <x:c r="A20" s="1"/>
      <x:c r="B20" s="1" t="str">
        <x:v>Impostos sobre a venda (%)</x:v>
      </x:c>
      <x:c r="C20" s="10" t="n">
        <x:v>0</x:v>
      </x:c>
      <x:c r="D20" s="1"/>
      <x:c r="E20" s="1"/>
      <x:c r="F20" s="1"/>
      <x:c r="G20" s="1"/>
    </x:row>
    <x:row r="21" ht="29" customHeight="1">
      <x:c r="A21" s="1"/>
      <x:c r="B21" s="1" t="str">
        <x:v>Campanhas e outras taxas (%)</x:v>
      </x:c>
      <x:c r="C21" s="10" t="n">
        <x:v>0</x:v>
      </x:c>
      <x:c r="D21" s="1"/>
      <x:c r="E21" s="1"/>
      <x:c r="F21" s="1"/>
      <x:c r="G21" s="1"/>
    </x:row>
    <x:row r="22" ht="29" customHeight="1">
      <x:c r="A22" s="1"/>
      <x:c r="B22" s="1"/>
      <x:c r="C22" s="1"/>
      <x:c r="D22" s="1"/>
      <x:c r="E22" s="1"/>
      <x:c r="F22" s="1"/>
      <x:c r="G22" s="1"/>
    </x:row>
    <x:row r="23" ht="29" customHeight="1">
      <x:c r="A23" s="1"/>
      <x:c r="B23" s="16" t="str">
        <x:v>Digite percentuais como 20%. Custos opcionais começam em zero.</x:v>
      </x:c>
      <x:c r="C23" s="16"/>
      <x:c r="D23" s="16"/>
      <x:c r="E23" s="16"/>
      <x:c r="F23" s="16"/>
      <x:c r="G23" s="1"/>
    </x:row>
    <x:row r="24" ht="29" customHeight="1">
      <x:c r="A24" s="1"/>
      <x:c r="B24" s="16" t="str">
        <x:v>Confira comissão e taxa por item para o preço final da promoção.</x:v>
      </x:c>
      <x:c r="C24" s="16"/>
      <x:c r="D24" s="16"/>
      <x:c r="E24" s="16"/>
      <x:c r="F24" s="16"/>
      <x:c r="G24" s="1"/>
    </x:row>
    <x:row r="25" ht="29" customHeight="1">
      <x:c r="A25" s="1"/>
      <x:c r="B25" s="16" t="str">
        <x:v>O subsídio Pix bancado pela Shopee não é custo seu.</x:v>
      </x:c>
      <x:c r="C25" s="16"/>
      <x:c r="D25" s="16"/>
      <x:c r="E25" s="16"/>
      <x:c r="F25" s="16"/>
      <x:c r="G25" s="1"/>
    </x:row>
    <x:row r="26" ht="29" customHeight="1">
      <x:c r="A26" s="1"/>
      <x:c r="B26" s="16" t="str">
        <x:v>Taxas: https://seller.shopee.com.br/edu/article/26839</x:v>
      </x:c>
      <x:c r="C26" s="16"/>
      <x:c r="D26" s="16"/>
      <x:c r="E26" s="16"/>
      <x:c r="F26" s="16"/>
      <x:c r="G26" s="1"/>
    </x:row>
    <x:row r="27" ht="29" customHeight="1">
      <x:c r="A27" s="1"/>
      <x:c r="B27" s="16" t="str">
        <x:v>Use as taxas da sua loja. Esta planilha não escolhe faixas automaticamente.</x:v>
      </x:c>
      <x:c r="C27" s="16"/>
      <x:c r="D27" s="16"/>
      <x:c r="E27" s="16"/>
      <x:c r="F27" s="16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</x:sheetData>
  <x:conditionalFormatting sqref="F16:F16">
    <x:cfRule type="cellIs" dxfId="0" priority="1" operator="lessThan">
      <x:formula>0</x:formula>
    </x:cfRule>
  </x:conditionalFormatting>
  <x:dataValidations count="12">
    <x:dataValidation type="decimal" operator="between" sqref="C10">
      <x:formula1>0</x:formula1>
      <x:formula2>1</x:formula2>
    </x:dataValidation>
    <x:dataValidation type="decimal" operator="between" sqref="C18">
      <x:formula1>0</x:formula1>
      <x:formula2>1</x:formula2>
    </x:dataValidation>
    <x:dataValidation type="decimal" operator="between" sqref="C20">
      <x:formula1>0</x:formula1>
      <x:formula2>1</x:formula2>
    </x:dataValidation>
    <x:dataValidation type="decimal" operator="between" sqref="C21">
      <x:formula1>0</x:formula1>
      <x:formula2>1</x:formula2>
    </x:dataValidation>
    <x:dataValidation type="decimal" operator="between" sqref="C9">
      <x:formula1>0</x:formula1>
      <x:formula2>1000000</x:formula2>
    </x:dataValidation>
    <x:dataValidation type="decimal" operator="between" sqref="C11">
      <x:formula1>0</x:formula1>
      <x:formula2>1000000</x:formula2>
    </x:dataValidation>
    <x:dataValidation type="decimal" operator="between" sqref="C12">
      <x:formula1>0</x:formula1>
      <x:formula2>1000000</x:formula2>
    </x:dataValidation>
    <x:dataValidation type="decimal" operator="between" sqref="C13">
      <x:formula1>0</x:formula1>
      <x:formula2>1000000</x:formula2>
    </x:dataValidation>
    <x:dataValidation type="decimal" operator="between" sqref="C14">
      <x:formula1>0</x:formula1>
      <x:formula2>1000000</x:formula2>
    </x:dataValidation>
    <x:dataValidation type="decimal" operator="between" sqref="C15">
      <x:formula1>0</x:formula1>
      <x:formula2>1000000</x:formula2>
    </x:dataValidation>
    <x:dataValidation type="decimal" operator="between" sqref="C16">
      <x:formula1>0</x:formula1>
      <x:formula2>1000000</x:formula2>
    </x:dataValidation>
    <x:dataValidation type="decimal" operator="between" sqref="C19">
      <x:formula1>0</x:formula1>
      <x:formula2>1000000</x:formula2>
    </x:dataValidation>
  </x:dataValidations>
  <x:pageMargins left="0.7" right="0.7" top="0.75" bottom="0.75" header="0.3" footer="0.3"/>
</x:worksheet>
</file>